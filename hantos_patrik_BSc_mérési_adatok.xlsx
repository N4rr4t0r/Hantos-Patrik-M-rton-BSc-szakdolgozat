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14\Documents\IX félév\Szakdoga\Mérés\Sejtfenttartás\"/>
    </mc:Choice>
  </mc:AlternateContent>
  <xr:revisionPtr revIDLastSave="0" documentId="13_ncr:1_{D33CA49C-2163-419B-84E4-D01231BC97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EK Sejtfenntartás" sheetId="4" r:id="rId1"/>
    <sheet name="NTA" sheetId="2" r:id="rId2"/>
    <sheet name="FC" sheetId="3" r:id="rId3"/>
    <sheet name="Spektrofotméte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<sst xmlns="http://schemas.openxmlformats.org/spreadsheetml/2006/main" count="148" uniqueCount="91">
  <si>
    <t>dátum</t>
  </si>
  <si>
    <t>Viability (%)</t>
  </si>
  <si>
    <t>Össz élősejt szám (M)</t>
  </si>
  <si>
    <t>Regenerálás</t>
  </si>
  <si>
    <t>Passzálás hétköznapra</t>
  </si>
  <si>
    <t>Passzálás hétvégére</t>
  </si>
  <si>
    <t>Transzfekciós-passzálás</t>
  </si>
  <si>
    <t>Név</t>
  </si>
  <si>
    <t>méret (nm)</t>
  </si>
  <si>
    <t>referencia</t>
  </si>
  <si>
    <t>11.07-UN</t>
  </si>
  <si>
    <t>11.07-N</t>
  </si>
  <si>
    <t>11.07-F</t>
  </si>
  <si>
    <t>10.09-N</t>
  </si>
  <si>
    <t>10.09-UN</t>
  </si>
  <si>
    <t>10.09-F</t>
  </si>
  <si>
    <t>10.02-UN</t>
  </si>
  <si>
    <t>10.02-N</t>
  </si>
  <si>
    <t>10.02-F</t>
  </si>
  <si>
    <t>10.02-F-fluo</t>
  </si>
  <si>
    <t>10.09-F-fluo</t>
  </si>
  <si>
    <t>10.09-N-fluo</t>
  </si>
  <si>
    <t>NA</t>
  </si>
  <si>
    <t>10.02-N-fluo</t>
  </si>
  <si>
    <t>11.07-F-fluo</t>
  </si>
  <si>
    <t>Koncentráció (esemény/cm3)</t>
  </si>
  <si>
    <t>értékes események (%)</t>
  </si>
  <si>
    <t>#1 kísérlet - F</t>
  </si>
  <si>
    <t>#1 kísérlet - N</t>
  </si>
  <si>
    <t>#1 kísérlet - UN</t>
  </si>
  <si>
    <t>#2 kísérlet - F</t>
  </si>
  <si>
    <t>#2 kísérlet - N</t>
  </si>
  <si>
    <t>#2 kísérlet - UN</t>
  </si>
  <si>
    <t>#4 kísérlet - F</t>
  </si>
  <si>
    <t>#4 kísérlet - N</t>
  </si>
  <si>
    <t>#4 kísérlet - UN</t>
  </si>
  <si>
    <t>eljárás</t>
  </si>
  <si>
    <t>N</t>
  </si>
  <si>
    <t>F</t>
  </si>
  <si>
    <t>UN</t>
  </si>
  <si>
    <t>Transzfekció</t>
  </si>
  <si>
    <t>Instrument Type</t>
  </si>
  <si>
    <t>N60</t>
  </si>
  <si>
    <t>Version</t>
  </si>
  <si>
    <t>NPOS 4.2g build 14900</t>
  </si>
  <si>
    <t>Serial Number</t>
  </si>
  <si>
    <t>M60848</t>
  </si>
  <si>
    <t>Selftest passed</t>
  </si>
  <si>
    <t>2025-11-13;  12:25</t>
  </si>
  <si>
    <t>Date</t>
  </si>
  <si>
    <t>2025-11-13</t>
  </si>
  <si>
    <t/>
  </si>
  <si>
    <t>Time</t>
  </si>
  <si>
    <t>12:27:21</t>
  </si>
  <si>
    <t>Parameter</t>
  </si>
  <si>
    <t>Value</t>
  </si>
  <si>
    <t xml:space="preserve">Method </t>
  </si>
  <si>
    <t>Nucleic Acids</t>
  </si>
  <si>
    <t>Type</t>
  </si>
  <si>
    <t>dsDNA</t>
  </si>
  <si>
    <t>Mode</t>
  </si>
  <si>
    <t>NanoVolume</t>
  </si>
  <si>
    <t>Volume (ul)</t>
  </si>
  <si>
    <t>1-2</t>
  </si>
  <si>
    <t>Nucleic Acid Factor</t>
  </si>
  <si>
    <t>Background Correction</t>
  </si>
  <si>
    <t>320 nm</t>
  </si>
  <si>
    <t>Air Bubble Recognition</t>
  </si>
  <si>
    <t>Off</t>
  </si>
  <si>
    <t>Manual Dilution Factor</t>
  </si>
  <si>
    <t>#</t>
  </si>
  <si>
    <t>Name</t>
  </si>
  <si>
    <t xml:space="preserve">Conc. </t>
  </si>
  <si>
    <t>Units</t>
  </si>
  <si>
    <t>1/Ɛ</t>
  </si>
  <si>
    <t>A230 (10 mm)</t>
  </si>
  <si>
    <t>A260 (10 mm)</t>
  </si>
  <si>
    <t>A280 (10 mm)</t>
  </si>
  <si>
    <t>λ</t>
  </si>
  <si>
    <t>Abs.</t>
  </si>
  <si>
    <t>A260/A280</t>
  </si>
  <si>
    <t>A260/A230</t>
  </si>
  <si>
    <t>Dilution</t>
  </si>
  <si>
    <t>Blank 1</t>
  </si>
  <si>
    <t>ng/ul</t>
  </si>
  <si>
    <t>10.02-un</t>
  </si>
  <si>
    <t>10.09-Un</t>
  </si>
  <si>
    <t>11.07-un</t>
  </si>
  <si>
    <t>-</t>
  </si>
  <si>
    <t>Bankolás</t>
  </si>
  <si>
    <t>Duplikációs idő (óra)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</si>
</sst>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.dd"/>
    <numFmt numFmtId="165" formatCode="m\.d"/>
    <numFmt numFmtId="166" formatCode="0.000"/>
    <numFmt numFmtId="167" formatCode="0.000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u/>
      <sz val="1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FFCA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2" borderId="0" xfId="0" applyNumberFormat="1" applyFont="1" applyFill="1"/>
    <xf numFmtId="0" fontId="1" fillId="2" borderId="0" xfId="0" applyFont="1" applyFill="1"/>
    <xf numFmtId="164" fontId="1" fillId="3" borderId="0" xfId="0" applyNumberFormat="1" applyFont="1" applyFill="1"/>
    <xf numFmtId="0" fontId="1" fillId="3" borderId="0" xfId="0" applyFont="1" applyFill="1"/>
    <xf numFmtId="164" fontId="1" fillId="4" borderId="0" xfId="0" applyNumberFormat="1" applyFont="1" applyFill="1"/>
    <xf numFmtId="0" fontId="1" fillId="4" borderId="0" xfId="0" applyFont="1" applyFill="1"/>
    <xf numFmtId="165" fontId="1" fillId="4" borderId="0" xfId="0" applyNumberFormat="1" applyFont="1" applyFill="1"/>
    <xf numFmtId="165" fontId="1" fillId="5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11" fontId="0" fillId="0" borderId="0" xfId="0" quotePrefix="1" applyNumberFormat="1"/>
    <xf numFmtId="11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/>
    <xf numFmtId="0" fontId="3" fillId="3" borderId="0" xfId="0" applyFont="1" applyFill="1"/>
    <xf numFmtId="0" fontId="3" fillId="5" borderId="0" xfId="0" applyFont="1" applyFill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66" fontId="5" fillId="6" borderId="0" xfId="0" applyNumberFormat="1" applyFont="1" applyFill="1" applyAlignment="1">
      <alignment horizontal="right"/>
    </xf>
    <xf numFmtId="2" fontId="5" fillId="6" borderId="0" xfId="0" applyNumberFormat="1" applyFont="1" applyFill="1" applyAlignment="1">
      <alignment horizontal="right"/>
    </xf>
    <xf numFmtId="164" fontId="1" fillId="2" borderId="0" xfId="0" applyNumberFormat="1" applyFont="1" applyFill="1"/>
    <xf numFmtId="0" fontId="0" fillId="0" borderId="0" xfId="0"/>
    <xf numFmtId="0" fontId="3" fillId="2" borderId="0" xfId="0" applyFont="1" applyFill="1"/>
    <xf numFmtId="0" fontId="2" fillId="0" borderId="0" xfId="0" applyFont="1"/>
    <xf numFmtId="164" fontId="1" fillId="3" borderId="0" xfId="0" applyNumberFormat="1" applyFont="1" applyFill="1"/>
    <xf numFmtId="164" fontId="1" fillId="5" borderId="0" xfId="0" applyNumberFormat="1" applyFont="1" applyFill="1"/>
    <xf numFmtId="0" fontId="1" fillId="3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0" borderId="0" xfId="0" applyFont="1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4562EB67-AAD0-4095-84D9-A48ACA9DB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5700" y="165100"/>
          <a:ext cx="1266825" cy="60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1B54-82ED-4CAD-84D6-57E7160E6FB9}">
  <dimension ref="A1:J25"/>
  <sheetViews>
    <sheetView tabSelected="1" workbookViewId="0">
      <selection activeCell="E6" sqref="E6"/>
    </sheetView>
  </sheetViews>
  <sheetFormatPr defaultRowHeight="12.5" x14ac:dyDescent="0.25"/>
  <cols>
    <col min="2" max="2" width="23" customWidth="1"/>
    <col min="3" max="3" width="12.54296875" customWidth="1"/>
    <col min="4" max="4" width="20.453125" customWidth="1"/>
    <col min="5" max="5" width="25.36328125" customWidth="1"/>
  </cols>
  <sheetData>
    <row r="1" spans="1:10" s="14" customFormat="1" ht="37.5" x14ac:dyDescent="0.25">
      <c r="A1" s="15" t="s">
        <v>0</v>
      </c>
      <c r="B1" s="15" t="s">
        <v>36</v>
      </c>
      <c r="C1" s="15" t="s">
        <v>40</v>
      </c>
      <c r="D1" s="38" t="s">
        <v>1</v>
      </c>
      <c r="E1" s="38" t="s">
        <v>2</v>
      </c>
      <c r="F1" s="15" t="s">
        <v>90</v>
      </c>
    </row>
    <row r="2" spans="1:10" x14ac:dyDescent="0.25">
      <c r="A2" s="1">
        <v>45922</v>
      </c>
      <c r="B2" s="2" t="s">
        <v>89</v>
      </c>
      <c r="C2" s="2"/>
      <c r="D2" s="2">
        <v>95</v>
      </c>
      <c r="E2" s="2">
        <v>2.86</v>
      </c>
      <c r="F2" s="2" t="s">
        <v>88</v>
      </c>
    </row>
    <row r="3" spans="1:10" x14ac:dyDescent="0.25">
      <c r="A3" s="1">
        <v>45924</v>
      </c>
      <c r="B3" s="2" t="s">
        <v>3</v>
      </c>
      <c r="C3" s="2"/>
      <c r="D3" s="2">
        <v>92.24</v>
      </c>
      <c r="E3" s="2">
        <v>4.28</v>
      </c>
      <c r="F3" s="2">
        <v>30.349097135825431</v>
      </c>
    </row>
    <row r="4" spans="1:10" x14ac:dyDescent="0.25">
      <c r="A4" s="1">
        <v>45926</v>
      </c>
      <c r="B4" s="2" t="s">
        <v>4</v>
      </c>
      <c r="C4" s="2"/>
      <c r="D4" s="2">
        <v>95.036000000000001</v>
      </c>
      <c r="E4" s="2">
        <v>20.675999999999998</v>
      </c>
      <c r="F4" s="2">
        <v>18.731485973215094</v>
      </c>
    </row>
    <row r="5" spans="1:10" x14ac:dyDescent="0.25">
      <c r="A5" s="1">
        <v>45929</v>
      </c>
      <c r="B5" s="2" t="s">
        <v>5</v>
      </c>
      <c r="C5" s="2"/>
      <c r="D5" s="2">
        <v>95.4</v>
      </c>
      <c r="E5" s="2">
        <v>48.96</v>
      </c>
      <c r="F5" s="2">
        <v>19.424594636164649</v>
      </c>
    </row>
    <row r="6" spans="1:10" x14ac:dyDescent="0.25">
      <c r="A6" s="30">
        <v>45932</v>
      </c>
      <c r="B6" s="32" t="s">
        <v>6</v>
      </c>
      <c r="C6" s="16" t="s">
        <v>37</v>
      </c>
      <c r="D6" s="2">
        <v>93.1</v>
      </c>
      <c r="E6" s="2">
        <v>37.04</v>
      </c>
      <c r="F6" s="16">
        <v>34.586631542365609</v>
      </c>
    </row>
    <row r="7" spans="1:10" x14ac:dyDescent="0.25">
      <c r="A7" s="31"/>
      <c r="B7" s="33"/>
      <c r="C7" s="16" t="s">
        <v>38</v>
      </c>
      <c r="D7" s="2">
        <v>92.4</v>
      </c>
      <c r="E7" s="2">
        <v>34.479999999999997</v>
      </c>
      <c r="F7" s="16">
        <v>36.392955624714666</v>
      </c>
    </row>
    <row r="8" spans="1:10" x14ac:dyDescent="0.25">
      <c r="A8" s="31"/>
      <c r="B8" s="33"/>
      <c r="C8" s="16" t="s">
        <v>39</v>
      </c>
      <c r="D8" s="2">
        <v>94.6</v>
      </c>
      <c r="E8" s="2">
        <v>29.411000000000001</v>
      </c>
      <c r="F8" s="16">
        <v>41.166359231217271</v>
      </c>
      <c r="J8" s="13"/>
    </row>
    <row r="9" spans="1:10" x14ac:dyDescent="0.25">
      <c r="A9" s="3">
        <v>45929</v>
      </c>
      <c r="B9" s="4" t="s">
        <v>89</v>
      </c>
      <c r="C9" s="4"/>
      <c r="D9" s="4">
        <v>94.3</v>
      </c>
      <c r="E9" s="4">
        <v>2.16</v>
      </c>
      <c r="F9" s="4" t="s">
        <v>88</v>
      </c>
      <c r="J9" s="13"/>
    </row>
    <row r="10" spans="1:10" x14ac:dyDescent="0.25">
      <c r="A10" s="3">
        <v>45931</v>
      </c>
      <c r="B10" s="4" t="s">
        <v>3</v>
      </c>
      <c r="C10" s="4"/>
      <c r="D10" s="4">
        <v>92.33</v>
      </c>
      <c r="E10" s="4">
        <v>4.8140000000000001</v>
      </c>
      <c r="F10" s="4">
        <v>28.532813465984912</v>
      </c>
    </row>
    <row r="11" spans="1:10" x14ac:dyDescent="0.25">
      <c r="A11" s="3">
        <v>45933</v>
      </c>
      <c r="B11" s="4" t="s">
        <v>4</v>
      </c>
      <c r="C11" s="4"/>
      <c r="D11" s="4">
        <v>91.24</v>
      </c>
      <c r="E11" s="4">
        <v>25.02</v>
      </c>
      <c r="F11" s="4">
        <v>16.915375772299011</v>
      </c>
    </row>
    <row r="12" spans="1:10" x14ac:dyDescent="0.25">
      <c r="A12" s="3">
        <v>45936</v>
      </c>
      <c r="B12" s="4" t="s">
        <v>5</v>
      </c>
      <c r="C12" s="4"/>
      <c r="D12" s="4">
        <v>90.02</v>
      </c>
      <c r="E12" s="4">
        <v>37.340000000000003</v>
      </c>
      <c r="F12" s="4">
        <v>21.714482485405618</v>
      </c>
    </row>
    <row r="13" spans="1:10" x14ac:dyDescent="0.25">
      <c r="A13" s="34">
        <v>45939</v>
      </c>
      <c r="B13" s="36" t="s">
        <v>6</v>
      </c>
      <c r="C13" s="17" t="s">
        <v>37</v>
      </c>
      <c r="D13" s="4">
        <v>97.4</v>
      </c>
      <c r="E13" s="4">
        <v>37.200000000000003</v>
      </c>
      <c r="F13" s="17">
        <v>34.483622374725378</v>
      </c>
    </row>
    <row r="14" spans="1:10" x14ac:dyDescent="0.25">
      <c r="A14" s="31"/>
      <c r="B14" s="36"/>
      <c r="C14" s="17" t="s">
        <v>38</v>
      </c>
      <c r="D14" s="4">
        <v>96.3</v>
      </c>
      <c r="E14" s="4">
        <v>29.9</v>
      </c>
      <c r="F14" s="17">
        <v>40.613934622889985</v>
      </c>
    </row>
    <row r="15" spans="1:10" x14ac:dyDescent="0.25">
      <c r="A15" s="31"/>
      <c r="B15" s="36"/>
      <c r="C15" s="17" t="s">
        <v>39</v>
      </c>
      <c r="D15" s="4">
        <v>88.2</v>
      </c>
      <c r="E15" s="4">
        <v>35.5</v>
      </c>
      <c r="F15" s="17">
        <v>35.63537699520797</v>
      </c>
    </row>
    <row r="16" spans="1:10" x14ac:dyDescent="0.25">
      <c r="A16" s="5">
        <v>45936</v>
      </c>
      <c r="B16" s="6" t="s">
        <v>89</v>
      </c>
      <c r="C16" s="6"/>
      <c r="D16" s="6">
        <v>89.87</v>
      </c>
      <c r="E16" s="6">
        <v>2.36</v>
      </c>
      <c r="F16" s="6" t="s">
        <v>88</v>
      </c>
    </row>
    <row r="17" spans="1:6" x14ac:dyDescent="0.25">
      <c r="A17" s="5">
        <v>45938</v>
      </c>
      <c r="B17" s="6" t="s">
        <v>3</v>
      </c>
      <c r="C17" s="6"/>
      <c r="D17" s="6">
        <v>92.2</v>
      </c>
      <c r="E17" s="6">
        <v>7.8650000000000002</v>
      </c>
      <c r="F17" s="6">
        <v>27.639263066232008</v>
      </c>
    </row>
    <row r="18" spans="1:6" x14ac:dyDescent="0.25">
      <c r="A18" s="7">
        <v>45940</v>
      </c>
      <c r="B18" s="6" t="s">
        <v>4</v>
      </c>
      <c r="C18" s="6"/>
      <c r="D18" s="6">
        <v>92</v>
      </c>
      <c r="E18" s="6">
        <v>22.486999999999998</v>
      </c>
      <c r="F18" s="6">
        <v>17.885992162427783</v>
      </c>
    </row>
    <row r="19" spans="1:6" x14ac:dyDescent="0.25">
      <c r="A19" s="8">
        <v>45957</v>
      </c>
      <c r="B19" s="9" t="s">
        <v>89</v>
      </c>
      <c r="C19" s="9"/>
      <c r="D19" s="9">
        <v>88.53</v>
      </c>
      <c r="E19" s="9">
        <v>1.6519999999999999</v>
      </c>
      <c r="F19" s="9" t="s">
        <v>88</v>
      </c>
    </row>
    <row r="20" spans="1:6" x14ac:dyDescent="0.25">
      <c r="A20" s="8">
        <v>45959</v>
      </c>
      <c r="B20" s="9" t="s">
        <v>3</v>
      </c>
      <c r="C20" s="9"/>
      <c r="D20" s="9">
        <v>92.23</v>
      </c>
      <c r="E20" s="9">
        <v>5.165</v>
      </c>
      <c r="F20" s="9">
        <v>29.187232932657203</v>
      </c>
    </row>
    <row r="21" spans="1:6" x14ac:dyDescent="0.25">
      <c r="A21" s="8">
        <v>45961</v>
      </c>
      <c r="B21" s="9" t="s">
        <v>4</v>
      </c>
      <c r="C21" s="9"/>
      <c r="D21" s="9">
        <v>90.08</v>
      </c>
      <c r="E21" s="9">
        <v>21.8</v>
      </c>
      <c r="F21" s="9">
        <v>18.189388082662067</v>
      </c>
    </row>
    <row r="22" spans="1:6" x14ac:dyDescent="0.25">
      <c r="A22" s="10">
        <v>45964</v>
      </c>
      <c r="B22" s="9" t="s">
        <v>5</v>
      </c>
      <c r="C22" s="9"/>
      <c r="D22" s="9">
        <v>91.7</v>
      </c>
      <c r="E22" s="9">
        <v>59.28</v>
      </c>
      <c r="F22" s="9">
        <v>18.078719504294472</v>
      </c>
    </row>
    <row r="23" spans="1:6" x14ac:dyDescent="0.25">
      <c r="A23" s="35">
        <v>45967</v>
      </c>
      <c r="B23" s="37" t="s">
        <v>6</v>
      </c>
      <c r="C23" s="18" t="s">
        <v>37</v>
      </c>
      <c r="D23" s="9">
        <v>98.7</v>
      </c>
      <c r="E23" s="9">
        <v>23.465</v>
      </c>
      <c r="F23" s="9">
        <v>50.59179974493329</v>
      </c>
    </row>
    <row r="24" spans="1:6" x14ac:dyDescent="0.25">
      <c r="A24" s="31"/>
      <c r="B24" s="37"/>
      <c r="C24" s="18" t="s">
        <v>38</v>
      </c>
      <c r="D24" s="9">
        <v>95.4</v>
      </c>
      <c r="E24" s="9">
        <v>22.2</v>
      </c>
      <c r="F24" s="9">
        <v>53.603145579877484</v>
      </c>
    </row>
    <row r="25" spans="1:6" x14ac:dyDescent="0.25">
      <c r="A25" s="31"/>
      <c r="B25" s="37"/>
      <c r="C25" s="18" t="s">
        <v>39</v>
      </c>
      <c r="D25" s="9">
        <v>94.18</v>
      </c>
      <c r="E25" s="9">
        <v>22.67</v>
      </c>
      <c r="F25" s="9">
        <v>52.423514730113986</v>
      </c>
    </row>
  </sheetData>
  <mergeCells count="6">
    <mergeCell ref="A6:A8"/>
    <mergeCell ref="B6:B8"/>
    <mergeCell ref="A13:A15"/>
    <mergeCell ref="B13:B15"/>
    <mergeCell ref="A23:A25"/>
    <mergeCell ref="B23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814D-9DE0-4073-AA5A-71B0EA117C2A}">
  <dimension ref="A1:C17"/>
  <sheetViews>
    <sheetView workbookViewId="0">
      <selection sqref="A1:XFD1"/>
    </sheetView>
  </sheetViews>
  <sheetFormatPr defaultRowHeight="12.5" x14ac:dyDescent="0.25"/>
  <cols>
    <col min="1" max="1" width="17.26953125" customWidth="1"/>
    <col min="2" max="2" width="19.7265625" customWidth="1"/>
    <col min="3" max="3" width="14.26953125" customWidth="1"/>
  </cols>
  <sheetData>
    <row r="1" spans="1:3" s="14" customFormat="1" ht="17.5" customHeight="1" x14ac:dyDescent="0.25">
      <c r="A1" s="14" t="s">
        <v>7</v>
      </c>
      <c r="B1" s="15" t="s">
        <v>25</v>
      </c>
      <c r="C1" s="14" t="s">
        <v>8</v>
      </c>
    </row>
    <row r="2" spans="1:3" x14ac:dyDescent="0.25">
      <c r="A2" t="s">
        <v>9</v>
      </c>
      <c r="B2" s="11">
        <v>16816700000000</v>
      </c>
      <c r="C2">
        <f>95</f>
        <v>95</v>
      </c>
    </row>
    <row r="3" spans="1:3" x14ac:dyDescent="0.25">
      <c r="A3" t="s">
        <v>10</v>
      </c>
      <c r="B3" s="11">
        <v>116727000000</v>
      </c>
      <c r="C3">
        <v>140</v>
      </c>
    </row>
    <row r="4" spans="1:3" x14ac:dyDescent="0.25">
      <c r="A4" t="s">
        <v>11</v>
      </c>
      <c r="B4">
        <v>29428780000</v>
      </c>
      <c r="C4">
        <v>135</v>
      </c>
    </row>
    <row r="5" spans="1:3" x14ac:dyDescent="0.25">
      <c r="A5" t="s">
        <v>12</v>
      </c>
      <c r="B5">
        <v>92038990000</v>
      </c>
      <c r="C5">
        <v>135</v>
      </c>
    </row>
    <row r="6" spans="1:3" x14ac:dyDescent="0.25">
      <c r="A6" t="s">
        <v>13</v>
      </c>
      <c r="B6" s="11">
        <v>204058000000</v>
      </c>
      <c r="C6">
        <v>145</v>
      </c>
    </row>
    <row r="7" spans="1:3" x14ac:dyDescent="0.25">
      <c r="A7" t="s">
        <v>14</v>
      </c>
      <c r="B7" s="11">
        <v>254648000000</v>
      </c>
      <c r="C7">
        <v>145</v>
      </c>
    </row>
    <row r="8" spans="1:3" x14ac:dyDescent="0.25">
      <c r="A8" t="s">
        <v>15</v>
      </c>
      <c r="B8" s="11">
        <v>165816000000</v>
      </c>
      <c r="C8">
        <v>160</v>
      </c>
    </row>
    <row r="9" spans="1:3" x14ac:dyDescent="0.25">
      <c r="A9" t="s">
        <v>16</v>
      </c>
      <c r="B9" s="11">
        <v>117391000000</v>
      </c>
      <c r="C9">
        <v>155</v>
      </c>
    </row>
    <row r="10" spans="1:3" x14ac:dyDescent="0.25">
      <c r="A10" t="s">
        <v>17</v>
      </c>
      <c r="B10" s="11">
        <v>160189000000</v>
      </c>
      <c r="C10">
        <v>155</v>
      </c>
    </row>
    <row r="11" spans="1:3" x14ac:dyDescent="0.25">
      <c r="A11" t="s">
        <v>18</v>
      </c>
      <c r="B11" s="11">
        <v>130720000000</v>
      </c>
      <c r="C11">
        <v>165</v>
      </c>
    </row>
    <row r="12" spans="1:3" x14ac:dyDescent="0.25">
      <c r="A12" t="s">
        <v>9</v>
      </c>
      <c r="B12" s="11">
        <v>1887990000000</v>
      </c>
      <c r="C12">
        <v>125</v>
      </c>
    </row>
    <row r="13" spans="1:3" x14ac:dyDescent="0.25">
      <c r="A13" t="s">
        <v>19</v>
      </c>
      <c r="B13" s="12">
        <v>4739280000</v>
      </c>
      <c r="C13">
        <v>250</v>
      </c>
    </row>
    <row r="14" spans="1:3" x14ac:dyDescent="0.25">
      <c r="A14" t="s">
        <v>20</v>
      </c>
      <c r="B14" s="12">
        <v>6148770000</v>
      </c>
      <c r="C14">
        <v>280</v>
      </c>
    </row>
    <row r="15" spans="1:3" x14ac:dyDescent="0.25">
      <c r="A15" t="s">
        <v>21</v>
      </c>
      <c r="B15" t="s">
        <v>22</v>
      </c>
      <c r="C15" t="s">
        <v>22</v>
      </c>
    </row>
    <row r="16" spans="1:3" x14ac:dyDescent="0.25">
      <c r="A16" t="s">
        <v>23</v>
      </c>
      <c r="B16" t="s">
        <v>22</v>
      </c>
      <c r="C16" t="s">
        <v>22</v>
      </c>
    </row>
    <row r="17" spans="1:3" x14ac:dyDescent="0.25">
      <c r="A17" t="s">
        <v>24</v>
      </c>
      <c r="B17" t="s">
        <v>22</v>
      </c>
      <c r="C17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B275-D762-4AC4-8FBB-DFDA9E13265F}">
  <dimension ref="A1:B10"/>
  <sheetViews>
    <sheetView workbookViewId="0">
      <selection activeCell="J9" sqref="J9"/>
    </sheetView>
  </sheetViews>
  <sheetFormatPr defaultRowHeight="12.5" x14ac:dyDescent="0.25"/>
  <cols>
    <col min="1" max="1" width="15.08984375" customWidth="1"/>
    <col min="2" max="2" width="17.54296875" customWidth="1"/>
  </cols>
  <sheetData>
    <row r="1" spans="1:2" s="14" customFormat="1" ht="25" x14ac:dyDescent="0.25">
      <c r="A1" s="14" t="s">
        <v>7</v>
      </c>
      <c r="B1" s="14" t="s">
        <v>26</v>
      </c>
    </row>
    <row r="2" spans="1:2" x14ac:dyDescent="0.25">
      <c r="A2" t="s">
        <v>27</v>
      </c>
      <c r="B2">
        <v>59.97</v>
      </c>
    </row>
    <row r="3" spans="1:2" x14ac:dyDescent="0.25">
      <c r="A3" t="s">
        <v>28</v>
      </c>
      <c r="B3">
        <v>1.33</v>
      </c>
    </row>
    <row r="4" spans="1:2" x14ac:dyDescent="0.25">
      <c r="A4" t="s">
        <v>29</v>
      </c>
      <c r="B4">
        <v>0.85</v>
      </c>
    </row>
    <row r="5" spans="1:2" x14ac:dyDescent="0.25">
      <c r="A5" t="s">
        <v>30</v>
      </c>
      <c r="B5">
        <v>55.7</v>
      </c>
    </row>
    <row r="6" spans="1:2" x14ac:dyDescent="0.25">
      <c r="A6" t="s">
        <v>31</v>
      </c>
      <c r="B6">
        <v>3.29</v>
      </c>
    </row>
    <row r="7" spans="1:2" x14ac:dyDescent="0.25">
      <c r="A7" t="s">
        <v>32</v>
      </c>
      <c r="B7">
        <v>6.96</v>
      </c>
    </row>
    <row r="8" spans="1:2" x14ac:dyDescent="0.25">
      <c r="A8" t="s">
        <v>33</v>
      </c>
      <c r="B8">
        <v>14.95</v>
      </c>
    </row>
    <row r="9" spans="1:2" x14ac:dyDescent="0.25">
      <c r="A9" t="s">
        <v>34</v>
      </c>
      <c r="B9">
        <v>0.16</v>
      </c>
    </row>
    <row r="10" spans="1:2" x14ac:dyDescent="0.25">
      <c r="A10" t="s">
        <v>35</v>
      </c>
      <c r="B10">
        <v>0.43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9822-4E1C-41CC-8E6A-1DF840342AA1}">
  <dimension ref="A1:N30"/>
  <sheetViews>
    <sheetView workbookViewId="0">
      <selection activeCell="G14" sqref="G14"/>
    </sheetView>
  </sheetViews>
  <sheetFormatPr defaultRowHeight="12.5" x14ac:dyDescent="0.25"/>
  <sheetData>
    <row r="1" spans="1:3" ht="13" x14ac:dyDescent="0.3">
      <c r="A1" s="19" t="s">
        <v>41</v>
      </c>
      <c r="B1" s="20" t="s">
        <v>42</v>
      </c>
    </row>
    <row r="2" spans="1:3" ht="13" x14ac:dyDescent="0.3">
      <c r="A2" s="19" t="s">
        <v>43</v>
      </c>
      <c r="B2" s="20" t="s">
        <v>44</v>
      </c>
    </row>
    <row r="3" spans="1:3" ht="13" x14ac:dyDescent="0.3">
      <c r="A3" s="19" t="s">
        <v>45</v>
      </c>
      <c r="B3" s="20" t="s">
        <v>46</v>
      </c>
    </row>
    <row r="4" spans="1:3" ht="13" x14ac:dyDescent="0.3">
      <c r="A4" s="19" t="s">
        <v>47</v>
      </c>
      <c r="B4" s="20" t="s">
        <v>48</v>
      </c>
    </row>
    <row r="5" spans="1:3" ht="13" x14ac:dyDescent="0.3">
      <c r="A5" s="19" t="s">
        <v>49</v>
      </c>
      <c r="B5" s="20" t="s">
        <v>50</v>
      </c>
      <c r="C5" s="20" t="s">
        <v>51</v>
      </c>
    </row>
    <row r="6" spans="1:3" ht="13" x14ac:dyDescent="0.3">
      <c r="A6" s="19" t="s">
        <v>52</v>
      </c>
      <c r="B6" s="20" t="s">
        <v>53</v>
      </c>
      <c r="C6" s="20" t="s">
        <v>51</v>
      </c>
    </row>
    <row r="9" spans="1:3" ht="13" x14ac:dyDescent="0.3">
      <c r="A9" s="21" t="s">
        <v>54</v>
      </c>
      <c r="B9" s="22" t="s">
        <v>55</v>
      </c>
    </row>
    <row r="10" spans="1:3" x14ac:dyDescent="0.25">
      <c r="A10" s="23" t="s">
        <v>56</v>
      </c>
      <c r="B10" s="20" t="s">
        <v>57</v>
      </c>
    </row>
    <row r="11" spans="1:3" x14ac:dyDescent="0.25">
      <c r="A11" s="23" t="s">
        <v>58</v>
      </c>
      <c r="B11" s="20" t="s">
        <v>59</v>
      </c>
    </row>
    <row r="12" spans="1:3" x14ac:dyDescent="0.25">
      <c r="A12" s="23" t="s">
        <v>60</v>
      </c>
      <c r="B12" s="20" t="s">
        <v>61</v>
      </c>
    </row>
    <row r="13" spans="1:3" x14ac:dyDescent="0.25">
      <c r="A13" s="23" t="s">
        <v>62</v>
      </c>
      <c r="B13" s="20" t="s">
        <v>63</v>
      </c>
    </row>
    <row r="14" spans="1:3" x14ac:dyDescent="0.25">
      <c r="A14" s="23" t="s">
        <v>64</v>
      </c>
      <c r="B14" s="24">
        <v>50</v>
      </c>
    </row>
    <row r="15" spans="1:3" x14ac:dyDescent="0.25">
      <c r="A15" s="23" t="s">
        <v>65</v>
      </c>
      <c r="B15" s="20" t="s">
        <v>66</v>
      </c>
    </row>
    <row r="16" spans="1:3" x14ac:dyDescent="0.25">
      <c r="A16" s="23" t="s">
        <v>67</v>
      </c>
      <c r="B16" s="20" t="s">
        <v>68</v>
      </c>
    </row>
    <row r="17" spans="1:14" x14ac:dyDescent="0.25">
      <c r="A17" s="23" t="s">
        <v>69</v>
      </c>
      <c r="B17" s="25">
        <v>1</v>
      </c>
    </row>
    <row r="20" spans="1:14" ht="13" x14ac:dyDescent="0.3">
      <c r="A20" s="22" t="s">
        <v>70</v>
      </c>
      <c r="B20" s="22" t="s">
        <v>71</v>
      </c>
      <c r="C20" s="22" t="s">
        <v>72</v>
      </c>
      <c r="D20" s="22" t="s">
        <v>73</v>
      </c>
      <c r="E20" s="22" t="s">
        <v>56</v>
      </c>
      <c r="F20" s="22" t="s">
        <v>74</v>
      </c>
      <c r="G20" s="22" t="s">
        <v>75</v>
      </c>
      <c r="H20" s="22" t="s">
        <v>76</v>
      </c>
      <c r="I20" s="22" t="s">
        <v>77</v>
      </c>
      <c r="J20" s="22" t="s">
        <v>78</v>
      </c>
      <c r="K20" s="22" t="s">
        <v>79</v>
      </c>
      <c r="L20" s="22" t="s">
        <v>80</v>
      </c>
      <c r="M20" s="22" t="s">
        <v>81</v>
      </c>
      <c r="N20" s="22" t="s">
        <v>82</v>
      </c>
    </row>
    <row r="21" spans="1:14" x14ac:dyDescent="0.25">
      <c r="A21" s="26">
        <v>1</v>
      </c>
      <c r="B21" s="20" t="s">
        <v>83</v>
      </c>
      <c r="C21" s="27">
        <v>0</v>
      </c>
      <c r="D21" s="20" t="s">
        <v>84</v>
      </c>
      <c r="E21" s="20" t="s">
        <v>59</v>
      </c>
      <c r="F21" s="24">
        <v>50</v>
      </c>
      <c r="G21" s="25">
        <v>0</v>
      </c>
      <c r="H21" s="25">
        <v>0</v>
      </c>
      <c r="I21" s="25">
        <v>0</v>
      </c>
      <c r="J21" s="26">
        <v>320</v>
      </c>
      <c r="K21" s="25">
        <v>0</v>
      </c>
      <c r="L21" s="25">
        <v>0</v>
      </c>
      <c r="M21" s="25">
        <v>0</v>
      </c>
      <c r="N21" s="20" t="s">
        <v>51</v>
      </c>
    </row>
    <row r="22" spans="1:14" x14ac:dyDescent="0.25">
      <c r="A22" s="26">
        <v>2</v>
      </c>
      <c r="B22" s="20" t="s">
        <v>85</v>
      </c>
      <c r="C22" s="24">
        <v>133.65</v>
      </c>
      <c r="D22" s="20" t="s">
        <v>84</v>
      </c>
      <c r="E22" s="20" t="s">
        <v>59</v>
      </c>
      <c r="F22" s="24">
        <v>50</v>
      </c>
      <c r="G22" s="25">
        <v>1.627</v>
      </c>
      <c r="H22" s="25">
        <v>2.677</v>
      </c>
      <c r="I22" s="25">
        <v>1.361</v>
      </c>
      <c r="J22" s="26">
        <v>320</v>
      </c>
      <c r="K22" s="25">
        <v>4.0000000000000001E-3</v>
      </c>
      <c r="L22" s="25">
        <v>1.97</v>
      </c>
      <c r="M22" s="28">
        <v>1.647</v>
      </c>
      <c r="N22" s="26">
        <v>15</v>
      </c>
    </row>
    <row r="23" spans="1:14" x14ac:dyDescent="0.25">
      <c r="A23" s="26">
        <v>3</v>
      </c>
      <c r="B23" s="20" t="s">
        <v>18</v>
      </c>
      <c r="C23" s="29">
        <v>214.8</v>
      </c>
      <c r="D23" s="20" t="s">
        <v>84</v>
      </c>
      <c r="E23" s="20" t="s">
        <v>59</v>
      </c>
      <c r="F23" s="24">
        <v>50</v>
      </c>
      <c r="G23" s="25">
        <v>5.1420000000000003</v>
      </c>
      <c r="H23" s="25">
        <v>6.4329999999999998</v>
      </c>
      <c r="I23" s="25">
        <v>4.3529999999999998</v>
      </c>
      <c r="J23" s="26">
        <v>320</v>
      </c>
      <c r="K23" s="25">
        <v>2.137</v>
      </c>
      <c r="L23" s="25">
        <v>1.9390000000000001</v>
      </c>
      <c r="M23" s="28">
        <v>1.43</v>
      </c>
      <c r="N23" s="26">
        <v>15</v>
      </c>
    </row>
    <row r="24" spans="1:14" x14ac:dyDescent="0.25">
      <c r="A24" s="26">
        <v>4</v>
      </c>
      <c r="B24" s="20" t="s">
        <v>17</v>
      </c>
      <c r="C24" s="24">
        <v>289.8</v>
      </c>
      <c r="D24" s="20" t="s">
        <v>84</v>
      </c>
      <c r="E24" s="20" t="s">
        <v>59</v>
      </c>
      <c r="F24" s="24">
        <v>50</v>
      </c>
      <c r="G24" s="25">
        <v>2.7450000000000001</v>
      </c>
      <c r="H24" s="25">
        <v>5.7910000000000004</v>
      </c>
      <c r="I24" s="25">
        <v>2.867</v>
      </c>
      <c r="J24" s="26">
        <v>320</v>
      </c>
      <c r="K24" s="25">
        <v>-5.0000000000000001E-3</v>
      </c>
      <c r="L24" s="25">
        <v>2.0179999999999998</v>
      </c>
      <c r="M24" s="25">
        <v>2.1080000000000001</v>
      </c>
      <c r="N24" s="26">
        <v>15</v>
      </c>
    </row>
    <row r="25" spans="1:14" x14ac:dyDescent="0.25">
      <c r="A25" s="26">
        <v>5</v>
      </c>
      <c r="B25" s="20" t="s">
        <v>15</v>
      </c>
      <c r="C25" s="24">
        <v>408</v>
      </c>
      <c r="D25" s="20" t="s">
        <v>84</v>
      </c>
      <c r="E25" s="20" t="s">
        <v>59</v>
      </c>
      <c r="F25" s="24">
        <v>50</v>
      </c>
      <c r="G25" s="25">
        <v>3.83</v>
      </c>
      <c r="H25" s="25">
        <v>8.173</v>
      </c>
      <c r="I25" s="25">
        <v>4.0270000000000001</v>
      </c>
      <c r="J25" s="26">
        <v>320</v>
      </c>
      <c r="K25" s="25">
        <v>1.2999999999999999E-2</v>
      </c>
      <c r="L25" s="25">
        <v>2.0329999999999999</v>
      </c>
      <c r="M25" s="25">
        <v>2.1379999999999999</v>
      </c>
      <c r="N25" s="26">
        <v>15</v>
      </c>
    </row>
    <row r="26" spans="1:14" x14ac:dyDescent="0.25">
      <c r="A26" s="26">
        <v>6</v>
      </c>
      <c r="B26" s="20" t="s">
        <v>13</v>
      </c>
      <c r="C26" s="24">
        <v>395.25</v>
      </c>
      <c r="D26" s="20" t="s">
        <v>84</v>
      </c>
      <c r="E26" s="20" t="s">
        <v>59</v>
      </c>
      <c r="F26" s="24">
        <v>50</v>
      </c>
      <c r="G26" s="25">
        <v>4.7220000000000004</v>
      </c>
      <c r="H26" s="25">
        <v>7.9089999999999998</v>
      </c>
      <c r="I26" s="25">
        <v>3.8759999999999999</v>
      </c>
      <c r="J26" s="26">
        <v>320</v>
      </c>
      <c r="K26" s="25">
        <v>4.0000000000000001E-3</v>
      </c>
      <c r="L26" s="25">
        <v>2.0419999999999998</v>
      </c>
      <c r="M26" s="28">
        <v>1.675</v>
      </c>
      <c r="N26" s="26">
        <v>15</v>
      </c>
    </row>
    <row r="27" spans="1:14" x14ac:dyDescent="0.25">
      <c r="A27" s="26">
        <v>7</v>
      </c>
      <c r="B27" s="20" t="s">
        <v>86</v>
      </c>
      <c r="C27" s="24">
        <v>454.95</v>
      </c>
      <c r="D27" s="20" t="s">
        <v>84</v>
      </c>
      <c r="E27" s="20" t="s">
        <v>59</v>
      </c>
      <c r="F27" s="24">
        <v>50</v>
      </c>
      <c r="G27" s="25">
        <v>4.609</v>
      </c>
      <c r="H27" s="25">
        <v>9.1050000000000004</v>
      </c>
      <c r="I27" s="25">
        <v>4.4820000000000002</v>
      </c>
      <c r="J27" s="26">
        <v>320</v>
      </c>
      <c r="K27" s="25">
        <v>6.0000000000000001E-3</v>
      </c>
      <c r="L27" s="25">
        <v>2.0329999999999999</v>
      </c>
      <c r="M27" s="25">
        <v>1.9770000000000001</v>
      </c>
      <c r="N27" s="26">
        <v>15</v>
      </c>
    </row>
    <row r="28" spans="1:14" x14ac:dyDescent="0.25">
      <c r="A28" s="26">
        <v>8</v>
      </c>
      <c r="B28" s="20" t="s">
        <v>87</v>
      </c>
      <c r="C28" s="24">
        <v>135.6</v>
      </c>
      <c r="D28" s="20" t="s">
        <v>84</v>
      </c>
      <c r="E28" s="20" t="s">
        <v>59</v>
      </c>
      <c r="F28" s="24">
        <v>50</v>
      </c>
      <c r="G28" s="25">
        <v>1.3220000000000001</v>
      </c>
      <c r="H28" s="25">
        <v>2.714</v>
      </c>
      <c r="I28" s="25">
        <v>1.367</v>
      </c>
      <c r="J28" s="26">
        <v>320</v>
      </c>
      <c r="K28" s="25">
        <v>2E-3</v>
      </c>
      <c r="L28" s="25">
        <v>1.9870000000000001</v>
      </c>
      <c r="M28" s="25">
        <v>2.0550000000000002</v>
      </c>
      <c r="N28" s="26">
        <v>15</v>
      </c>
    </row>
    <row r="29" spans="1:14" x14ac:dyDescent="0.25">
      <c r="A29" s="26">
        <v>9</v>
      </c>
      <c r="B29" s="20" t="s">
        <v>11</v>
      </c>
      <c r="C29" s="25">
        <v>30.1</v>
      </c>
      <c r="D29" s="20" t="s">
        <v>84</v>
      </c>
      <c r="E29" s="20" t="s">
        <v>59</v>
      </c>
      <c r="F29" s="24">
        <v>50</v>
      </c>
      <c r="G29" s="25">
        <v>0.34100000000000003</v>
      </c>
      <c r="H29" s="25">
        <v>0.60099999999999998</v>
      </c>
      <c r="I29" s="25">
        <v>0.32700000000000001</v>
      </c>
      <c r="J29" s="26">
        <v>320</v>
      </c>
      <c r="K29" s="25">
        <v>-1E-3</v>
      </c>
      <c r="L29" s="25">
        <v>1.835</v>
      </c>
      <c r="M29" s="28">
        <v>1.76</v>
      </c>
      <c r="N29" s="26">
        <v>15</v>
      </c>
    </row>
    <row r="30" spans="1:14" x14ac:dyDescent="0.25">
      <c r="A30" s="26">
        <v>10</v>
      </c>
      <c r="B30" s="20" t="s">
        <v>12</v>
      </c>
      <c r="C30" s="24">
        <v>145.55000000000001</v>
      </c>
      <c r="D30" s="20" t="s">
        <v>84</v>
      </c>
      <c r="E30" s="20" t="s">
        <v>59</v>
      </c>
      <c r="F30" s="24">
        <v>50</v>
      </c>
      <c r="G30" s="25">
        <v>1.698</v>
      </c>
      <c r="H30" s="25">
        <v>2.9119999999999999</v>
      </c>
      <c r="I30" s="25">
        <v>1.4670000000000001</v>
      </c>
      <c r="J30" s="26">
        <v>320</v>
      </c>
      <c r="K30" s="25">
        <v>1E-3</v>
      </c>
      <c r="L30" s="25">
        <v>1.986</v>
      </c>
      <c r="M30" s="28">
        <v>1.7150000000000001</v>
      </c>
      <c r="N30" s="26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HEK Sejtfenntartás</vt:lpstr>
      <vt:lpstr>NTA</vt:lpstr>
      <vt:lpstr>FC</vt:lpstr>
      <vt:lpstr>Spektrofotméter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Patrik Márton Hantos</cp:lastModifiedBy>
  <dcterms:modified xsi:type="dcterms:W3CDTF">2025-12-16T22:51:29Z</dcterms:modified>
</cp:coreProperties>
</file>